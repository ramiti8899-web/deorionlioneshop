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66DE1A59D75C631/Desktop/ITI PROJECT/"/>
    </mc:Choice>
  </mc:AlternateContent>
  <xr:revisionPtr revIDLastSave="0" documentId="13_ncr:1_{2986CEBB-21B1-4FE8-9387-68C5D9AC81BB}" xr6:coauthVersionLast="47" xr6:coauthVersionMax="47" xr10:uidLastSave="{00000000-0000-0000-0000-000000000000}"/>
  <bookViews>
    <workbookView xWindow="-108" yWindow="-108" windowWidth="23256" windowHeight="12456" xr2:uid="{1C92E65A-D519-44E0-B077-6DB1F466F1E1}"/>
  </bookViews>
  <sheets>
    <sheet name="Emp Attendence Sheet" sheetId="1" r:id="rId1"/>
    <sheet name="Emp Salary Sheet" sheetId="2" r:id="rId2"/>
    <sheet name="Sheet4" sheetId="4" r:id="rId3"/>
  </sheets>
  <definedNames>
    <definedName name="Months">Sheet4!$A$1:$A$12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T3" i="2" l="1"/>
  <c r="T4" i="2"/>
  <c r="T5" i="2"/>
  <c r="T6" i="2"/>
  <c r="T7" i="2"/>
  <c r="T8" i="2"/>
  <c r="T9" i="2"/>
  <c r="T10" i="2"/>
  <c r="T11" i="2"/>
  <c r="T2" i="2"/>
  <c r="R3" i="2"/>
  <c r="R4" i="2"/>
  <c r="R5" i="2"/>
  <c r="R6" i="2"/>
  <c r="R7" i="2"/>
  <c r="R8" i="2"/>
  <c r="R9" i="2"/>
  <c r="R10" i="2"/>
  <c r="R11" i="2"/>
  <c r="R2" i="2"/>
  <c r="O3" i="2"/>
  <c r="O4" i="2"/>
  <c r="O5" i="2"/>
  <c r="O6" i="2"/>
  <c r="O7" i="2"/>
  <c r="O8" i="2"/>
  <c r="O9" i="2"/>
  <c r="O10" i="2"/>
  <c r="O11" i="2"/>
  <c r="O2" i="2"/>
  <c r="N3" i="2"/>
  <c r="N4" i="2"/>
  <c r="N5" i="2"/>
  <c r="N6" i="2"/>
  <c r="N7" i="2"/>
  <c r="N8" i="2"/>
  <c r="N9" i="2"/>
  <c r="N10" i="2"/>
  <c r="N11" i="2"/>
  <c r="N2" i="2"/>
  <c r="AJ8" i="1"/>
  <c r="AK8" i="1"/>
  <c r="AJ9" i="1"/>
  <c r="AK9" i="1"/>
  <c r="AJ10" i="1"/>
  <c r="AK10" i="1"/>
  <c r="AJ11" i="1"/>
  <c r="AK11" i="1"/>
  <c r="AJ12" i="1"/>
  <c r="AK12" i="1"/>
  <c r="AJ13" i="1"/>
  <c r="AK13" i="1"/>
  <c r="AJ14" i="1"/>
  <c r="AK14" i="1"/>
  <c r="AJ15" i="1"/>
  <c r="AK15" i="1"/>
  <c r="AJ16" i="1"/>
  <c r="AK16" i="1"/>
  <c r="AJ7" i="1"/>
  <c r="AK7" i="1"/>
  <c r="E3" i="1"/>
  <c r="E5" i="1"/>
  <c r="E6" i="1"/>
  <c r="L2" i="2" a="1"/>
  <c r="L3" i="1"/>
  <c r="L2" i="2"/>
  <c r="M2" i="2"/>
  <c r="Q2" i="2"/>
  <c r="U2" i="2"/>
  <c r="M11" i="2"/>
  <c r="Q11" i="2"/>
  <c r="U11" i="2"/>
  <c r="M3" i="2"/>
  <c r="Q3" i="2"/>
  <c r="U3" i="2"/>
  <c r="M5" i="2"/>
  <c r="Q5" i="2"/>
  <c r="U5" i="2"/>
  <c r="M7" i="2"/>
  <c r="Q7" i="2"/>
  <c r="U7" i="2"/>
  <c r="M10" i="2"/>
  <c r="Q10" i="2"/>
  <c r="U10" i="2"/>
  <c r="M4" i="2"/>
  <c r="Q4" i="2"/>
  <c r="U4" i="2"/>
  <c r="M6" i="2"/>
  <c r="Q6" i="2"/>
  <c r="U6" i="2"/>
  <c r="M9" i="2"/>
  <c r="Q9" i="2"/>
  <c r="U9" i="2"/>
  <c r="M8" i="2"/>
  <c r="Q8" i="2"/>
  <c r="U8" i="2"/>
  <c r="F5" i="1"/>
  <c r="G5" i="1"/>
  <c r="F6" i="1"/>
  <c r="H5" i="1"/>
  <c r="G6" i="1"/>
  <c r="I5" i="1"/>
  <c r="H6" i="1"/>
  <c r="J5" i="1"/>
  <c r="I6" i="1"/>
  <c r="K5" i="1"/>
  <c r="J6" i="1"/>
  <c r="L5" i="1"/>
  <c r="K6" i="1"/>
  <c r="M5" i="1"/>
  <c r="L6" i="1"/>
  <c r="N5" i="1"/>
  <c r="M6" i="1"/>
  <c r="O5" i="1"/>
  <c r="N6" i="1"/>
  <c r="P5" i="1"/>
  <c r="O6" i="1"/>
  <c r="Q5" i="1"/>
  <c r="P6" i="1"/>
  <c r="R5" i="1"/>
  <c r="Q6" i="1"/>
  <c r="S5" i="1"/>
  <c r="R6" i="1"/>
  <c r="T5" i="1"/>
  <c r="S6" i="1"/>
  <c r="U5" i="1"/>
  <c r="T6" i="1"/>
  <c r="V5" i="1"/>
  <c r="U6" i="1"/>
  <c r="W5" i="1"/>
  <c r="V6" i="1"/>
  <c r="X5" i="1"/>
  <c r="W6" i="1"/>
  <c r="Y5" i="1"/>
  <c r="X6" i="1"/>
  <c r="Z5" i="1"/>
  <c r="Y6" i="1"/>
  <c r="AA5" i="1"/>
  <c r="Z6" i="1"/>
  <c r="AB5" i="1"/>
  <c r="AA6" i="1"/>
  <c r="AC5" i="1"/>
  <c r="AB6" i="1"/>
  <c r="AD5" i="1"/>
  <c r="AC6" i="1"/>
  <c r="AE5" i="1"/>
  <c r="AD6" i="1"/>
  <c r="AF5" i="1"/>
  <c r="AE6" i="1"/>
  <c r="AG5" i="1"/>
  <c r="AF6" i="1"/>
  <c r="AH5" i="1"/>
  <c r="AG6" i="1"/>
  <c r="AI5" i="1"/>
  <c r="AH6" i="1"/>
  <c r="AI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<sst xmlns="http://schemas.openxmlformats.org/spreadsheetml/2006/main" count="154" uniqueCount="112">
  <si>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</si>
  <si>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</si>
  <si>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</si>
  <si>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</si>
  <si>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</si>
  <si>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</si>
  <si>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</si>
  <si>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</si>
  <si>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</si>
  <si>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</si>
  <si>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</si>
  <si>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</si>
  <si>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</t>
  </si>
  <si>
    <t>Emp Id</t>
  </si>
  <si>
    <t>Emp Name</t>
  </si>
  <si>
    <t>Desgination</t>
  </si>
  <si>
    <t>Date</t>
  </si>
  <si>
    <t>Day</t>
  </si>
  <si>
    <t>Emp 001</t>
  </si>
  <si>
    <t>Emp 002</t>
  </si>
  <si>
    <t>Emp 003</t>
  </si>
  <si>
    <t>Emp 004</t>
  </si>
  <si>
    <t>Emp 005</t>
  </si>
  <si>
    <t>Emp 006</t>
  </si>
  <si>
    <t>Emp 007</t>
  </si>
  <si>
    <t>Emp 008</t>
  </si>
  <si>
    <t>Emp 009</t>
  </si>
  <si>
    <t>Emp 010</t>
  </si>
  <si>
    <t>Aditya Jain</t>
  </si>
  <si>
    <t>Sonu Mehra</t>
  </si>
  <si>
    <t>Aadarsh Yadav</t>
  </si>
  <si>
    <t>Shivani Mehra</t>
  </si>
  <si>
    <t>Sakshi Sahu</t>
  </si>
  <si>
    <t xml:space="preserve"> Rohit Roy</t>
  </si>
  <si>
    <t>Priya Soni</t>
  </si>
  <si>
    <t>Sneha Rai</t>
  </si>
  <si>
    <t>Deepak  Jain</t>
  </si>
  <si>
    <t>Anshika Verma</t>
  </si>
  <si>
    <t xml:space="preserve">Accountant </t>
  </si>
  <si>
    <t>Clerk</t>
  </si>
  <si>
    <t>Manager</t>
  </si>
  <si>
    <t>Techinican</t>
  </si>
  <si>
    <t>Supervisior</t>
  </si>
  <si>
    <t>HR Executive</t>
  </si>
  <si>
    <t>Office Assistant</t>
  </si>
  <si>
    <t>Receptoinst</t>
  </si>
  <si>
    <t>Graphic Designer</t>
  </si>
  <si>
    <t>Data Analyst</t>
  </si>
  <si>
    <t>TO</t>
  </si>
  <si>
    <t>Absent</t>
  </si>
  <si>
    <t>Present</t>
  </si>
  <si>
    <r>
      <rPr>
        <b/>
        <u/>
        <sz val="16"/>
        <color rgb="FFFFFF00"/>
        <rFont val="Aptos Narrow"/>
        <family val="2"/>
        <scheme val="minor"/>
      </rPr>
      <t>Employee Attendence Sheet -</t>
    </r>
    <r>
      <rPr>
        <b/>
        <u/>
        <sz val="16"/>
        <color theme="1"/>
        <rFont val="Aptos Narrow"/>
        <family val="2"/>
        <scheme val="minor"/>
      </rPr>
      <t xml:space="preserve"> </t>
    </r>
    <r>
      <rPr>
        <b/>
        <u/>
        <sz val="16"/>
        <color theme="0"/>
        <rFont val="Aptos Narrow"/>
        <family val="2"/>
        <scheme val="minor"/>
      </rPr>
      <t>Ashoka Food Products</t>
    </r>
  </si>
  <si>
    <t>Emp ID</t>
  </si>
  <si>
    <t>Father Name</t>
  </si>
  <si>
    <t>Gender</t>
  </si>
  <si>
    <t>Adinath Jain</t>
  </si>
  <si>
    <t>Ajit Mehra</t>
  </si>
  <si>
    <t>Bhuvanesh Yadav</t>
  </si>
  <si>
    <t>Devendra Mehra</t>
  </si>
  <si>
    <t>Nagendra Sahu</t>
  </si>
  <si>
    <t>Ramesh Roy</t>
  </si>
  <si>
    <t>Nirmal Soni</t>
  </si>
  <si>
    <t>Ravindra Rai</t>
  </si>
  <si>
    <t>Sambhav Jain</t>
  </si>
  <si>
    <t>Siddhant Verma</t>
  </si>
  <si>
    <t>Male</t>
  </si>
  <si>
    <t>Female</t>
  </si>
  <si>
    <t>DOJ</t>
  </si>
  <si>
    <t>Location</t>
  </si>
  <si>
    <t>PF NO</t>
  </si>
  <si>
    <t>Account NO</t>
  </si>
  <si>
    <t>PAN NO</t>
  </si>
  <si>
    <t>Bhopal</t>
  </si>
  <si>
    <t>Sagar</t>
  </si>
  <si>
    <t>Bina</t>
  </si>
  <si>
    <t>Rehli</t>
  </si>
  <si>
    <t>Deori</t>
  </si>
  <si>
    <t>Kesli</t>
  </si>
  <si>
    <t>Banda</t>
  </si>
  <si>
    <t>Vidisha</t>
  </si>
  <si>
    <t>Indore</t>
  </si>
  <si>
    <t>Jaipur</t>
  </si>
  <si>
    <t>ABCD1001A</t>
  </si>
  <si>
    <t>ABCD1001B</t>
  </si>
  <si>
    <t>ABCD1001C</t>
  </si>
  <si>
    <t>ABCD1001D</t>
  </si>
  <si>
    <t>ABCD1001E</t>
  </si>
  <si>
    <t>ABCD1001F</t>
  </si>
  <si>
    <t>ABCD1001G</t>
  </si>
  <si>
    <t>ABCD1001H</t>
  </si>
  <si>
    <t>ABCD1001K</t>
  </si>
  <si>
    <t>PF00001</t>
  </si>
  <si>
    <t>PF00002</t>
  </si>
  <si>
    <t>PF00003</t>
  </si>
  <si>
    <t>PF00004</t>
  </si>
  <si>
    <t>PF00005</t>
  </si>
  <si>
    <t>PF00006</t>
  </si>
  <si>
    <t>PF00007</t>
  </si>
  <si>
    <t>PF00008</t>
  </si>
  <si>
    <t>PF00009</t>
  </si>
  <si>
    <t>PF00010</t>
  </si>
  <si>
    <t>Basic Pay</t>
  </si>
  <si>
    <t>Attendence</t>
  </si>
  <si>
    <t>Earned Salary</t>
  </si>
  <si>
    <t>HRA 40%</t>
  </si>
  <si>
    <t>DA 20%</t>
  </si>
  <si>
    <t>Conveyance</t>
  </si>
  <si>
    <t>Gross Salary</t>
  </si>
  <si>
    <t>PF 12%</t>
  </si>
  <si>
    <t>Prof Tax</t>
  </si>
  <si>
    <t>Net Salary</t>
  </si>
  <si>
    <t>Gross Deduction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</si>
</sst>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u/>
      <sz val="16"/>
      <color theme="1"/>
      <name val="Aptos Narrow"/>
      <family val="2"/>
      <scheme val="minor"/>
    </font>
    <font>
      <b/>
      <u/>
      <sz val="16"/>
      <color rgb="FFFFFF00"/>
      <name val="Aptos Narrow"/>
      <family val="2"/>
      <scheme val="minor"/>
    </font>
    <font>
      <b/>
      <u/>
      <sz val="16"/>
      <color theme="0"/>
      <name val="Aptos Narrow"/>
      <family val="2"/>
      <scheme val="minor"/>
    </font>
    <font>
      <b/>
      <sz val="10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2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4" borderId="1" xfId="0" applyFont="1" applyFill="1" applyBorder="1"/>
    <xf numFmtId="0" fontId="1" fillId="4" borderId="1" xfId="0" applyFont="1" applyFill="1" applyBorder="1"/>
    <xf numFmtId="0" fontId="4" fillId="5" borderId="1" xfId="0" applyFont="1" applyFill="1" applyBorder="1"/>
    <xf numFmtId="164" fontId="1" fillId="5" borderId="1" xfId="0" applyNumberFormat="1" applyFont="1" applyFill="1" applyBorder="1"/>
    <xf numFmtId="0" fontId="8" fillId="3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wrapText="1"/>
    </xf>
    <xf numFmtId="0" fontId="4" fillId="5" borderId="1" xfId="0" applyFon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 /><Relationship Id="rId3" Type="http://schemas.openxmlformats.org/officeDocument/2006/relationships/worksheet" Target="worksheets/sheet3.xml" /><Relationship Id="rId7" Type="http://schemas.openxmlformats.org/officeDocument/2006/relationships/sheetMetadata" Target="metadata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2C7DD-8724-4E16-A8F5-DD192EE9AEFF}">
  <dimension ref="A1:AK16"/>
  <sheetViews>
    <sheetView tabSelected="1" zoomScale="130" zoomScaleNormal="130" workbookViewId="0">
      <pane xSplit="2" ySplit="1" topLeftCell="C2" activePane="bottomRight" state="frozen"/>
      <selection pane="bottomLeft" activeCell="A2" sqref="A2"/>
      <selection pane="topRight" activeCell="C1" sqref="C1"/>
      <selection pane="bottomRight" activeCell="B3" sqref="B3"/>
    </sheetView>
  </sheetViews>
  <sheetFormatPr defaultColWidth="7.93359375" defaultRowHeight="15" x14ac:dyDescent="0.2"/>
  <cols>
    <col min="1" max="1" width="7.93359375" bestFit="1" customWidth="1"/>
    <col min="2" max="2" width="13.046875" bestFit="1" customWidth="1"/>
    <col min="3" max="3" width="14.9296875" bestFit="1" customWidth="1"/>
    <col min="4" max="4" width="4.70703125" bestFit="1" customWidth="1"/>
    <col min="5" max="5" width="4.83984375" bestFit="1" customWidth="1"/>
    <col min="6" max="6" width="4.03515625" bestFit="1" customWidth="1"/>
    <col min="7" max="7" width="3.2265625" bestFit="1" customWidth="1"/>
    <col min="8" max="8" width="3.765625" bestFit="1" customWidth="1"/>
    <col min="9" max="9" width="4.16796875" bestFit="1" customWidth="1"/>
    <col min="10" max="10" width="4.4375" bestFit="1" customWidth="1"/>
    <col min="11" max="11" width="3.8984375" bestFit="1" customWidth="1"/>
    <col min="12" max="12" width="4.83984375" bestFit="1" customWidth="1"/>
    <col min="13" max="13" width="4.03515625" bestFit="1" customWidth="1"/>
    <col min="14" max="14" width="3.2265625" bestFit="1" customWidth="1"/>
    <col min="15" max="15" width="3.765625" bestFit="1" customWidth="1"/>
    <col min="16" max="16" width="4.16796875" bestFit="1" customWidth="1"/>
    <col min="17" max="17" width="4.4375" bestFit="1" customWidth="1"/>
    <col min="18" max="18" width="3.8984375" bestFit="1" customWidth="1"/>
    <col min="19" max="19" width="4.83984375" bestFit="1" customWidth="1"/>
    <col min="20" max="20" width="4.03515625" bestFit="1" customWidth="1"/>
    <col min="21" max="21" width="3.2265625" bestFit="1" customWidth="1"/>
    <col min="22" max="22" width="3.765625" bestFit="1" customWidth="1"/>
    <col min="23" max="23" width="4.16796875" bestFit="1" customWidth="1"/>
    <col min="24" max="24" width="4.4375" bestFit="1" customWidth="1"/>
    <col min="25" max="25" width="3.8984375" bestFit="1" customWidth="1"/>
    <col min="26" max="26" width="4.83984375" bestFit="1" customWidth="1"/>
    <col min="27" max="27" width="4.03515625" bestFit="1" customWidth="1"/>
    <col min="28" max="28" width="3.2265625" bestFit="1" customWidth="1"/>
    <col min="29" max="29" width="3.765625" bestFit="1" customWidth="1"/>
    <col min="30" max="30" width="4.16796875" bestFit="1" customWidth="1"/>
    <col min="31" max="31" width="4.4375" bestFit="1" customWidth="1"/>
    <col min="32" max="32" width="3.8984375" bestFit="1" customWidth="1"/>
    <col min="33" max="33" width="4.83984375" bestFit="1" customWidth="1"/>
    <col min="34" max="34" width="4.03515625" bestFit="1" customWidth="1"/>
    <col min="35" max="35" width="3.2265625" bestFit="1" customWidth="1"/>
    <col min="36" max="36" width="6.72265625" bestFit="1" customWidth="1"/>
    <col min="37" max="37" width="7.26171875" bestFit="1" customWidth="1"/>
  </cols>
  <sheetData>
    <row r="1" spans="1:37" ht="18" customHeight="1" x14ac:dyDescent="0.3">
      <c r="A1" s="15" t="s">
        <v>51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</row>
    <row r="2" spans="1:37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</row>
    <row r="3" spans="1:37" x14ac:dyDescent="0.2">
      <c r="A3" s="3" t="s">
        <v>12</v>
      </c>
      <c r="B3" s="4" t="s">
        <v>0</v>
      </c>
      <c r="C3" s="2"/>
      <c r="D3" s="2"/>
      <c r="E3" s="18">
        <f>DATEVALUE("1"&amp;B3&amp;"2026")</f>
        <v>46023</v>
      </c>
      <c r="F3" s="18"/>
      <c r="G3" s="18"/>
      <c r="H3" s="18"/>
      <c r="I3" s="2"/>
      <c r="J3" s="17" t="s">
        <v>48</v>
      </c>
      <c r="K3" s="17"/>
      <c r="L3" s="18">
        <f>EOMONTH(E3,0)</f>
        <v>46053</v>
      </c>
      <c r="M3" s="18"/>
      <c r="N3" s="18"/>
      <c r="O3" s="18"/>
      <c r="P3" s="18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</row>
    <row r="4" spans="1:37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</row>
    <row r="5" spans="1:37" x14ac:dyDescent="0.2">
      <c r="A5" s="16" t="s">
        <v>13</v>
      </c>
      <c r="B5" s="16" t="s">
        <v>14</v>
      </c>
      <c r="C5" s="16" t="s">
        <v>15</v>
      </c>
      <c r="D5" s="7" t="s">
        <v>16</v>
      </c>
      <c r="E5" s="8">
        <f>E3</f>
        <v>46023</v>
      </c>
      <c r="F5" s="8">
        <f>IF(E5&lt;$L$3,E5+1,"")</f>
        <v>46024</v>
      </c>
      <c r="G5" s="8">
        <f t="shared" ref="G5:AI5" si="0">IF(F5&lt;$L$3,F5+1,"")</f>
        <v>46025</v>
      </c>
      <c r="H5" s="8">
        <f t="shared" si="0"/>
        <v>46026</v>
      </c>
      <c r="I5" s="8">
        <f t="shared" si="0"/>
        <v>46027</v>
      </c>
      <c r="J5" s="8">
        <f t="shared" si="0"/>
        <v>46028</v>
      </c>
      <c r="K5" s="8">
        <f t="shared" si="0"/>
        <v>46029</v>
      </c>
      <c r="L5" s="8">
        <f t="shared" si="0"/>
        <v>46030</v>
      </c>
      <c r="M5" s="8">
        <f t="shared" si="0"/>
        <v>46031</v>
      </c>
      <c r="N5" s="8">
        <f t="shared" si="0"/>
        <v>46032</v>
      </c>
      <c r="O5" s="8">
        <f t="shared" si="0"/>
        <v>46033</v>
      </c>
      <c r="P5" s="8">
        <f t="shared" si="0"/>
        <v>46034</v>
      </c>
      <c r="Q5" s="8">
        <f t="shared" si="0"/>
        <v>46035</v>
      </c>
      <c r="R5" s="8">
        <f t="shared" si="0"/>
        <v>46036</v>
      </c>
      <c r="S5" s="8">
        <f t="shared" si="0"/>
        <v>46037</v>
      </c>
      <c r="T5" s="8">
        <f t="shared" si="0"/>
        <v>46038</v>
      </c>
      <c r="U5" s="8">
        <f t="shared" si="0"/>
        <v>46039</v>
      </c>
      <c r="V5" s="8">
        <f t="shared" si="0"/>
        <v>46040</v>
      </c>
      <c r="W5" s="8">
        <f t="shared" si="0"/>
        <v>46041</v>
      </c>
      <c r="X5" s="8">
        <f t="shared" si="0"/>
        <v>46042</v>
      </c>
      <c r="Y5" s="8">
        <f t="shared" si="0"/>
        <v>46043</v>
      </c>
      <c r="Z5" s="8">
        <f t="shared" si="0"/>
        <v>46044</v>
      </c>
      <c r="AA5" s="8">
        <f t="shared" si="0"/>
        <v>46045</v>
      </c>
      <c r="AB5" s="8">
        <f t="shared" si="0"/>
        <v>46046</v>
      </c>
      <c r="AC5" s="8">
        <f t="shared" si="0"/>
        <v>46047</v>
      </c>
      <c r="AD5" s="8">
        <f t="shared" si="0"/>
        <v>46048</v>
      </c>
      <c r="AE5" s="8">
        <f t="shared" si="0"/>
        <v>46049</v>
      </c>
      <c r="AF5" s="8">
        <f t="shared" si="0"/>
        <v>46050</v>
      </c>
      <c r="AG5" s="8">
        <f t="shared" si="0"/>
        <v>46051</v>
      </c>
      <c r="AH5" s="8">
        <f t="shared" si="0"/>
        <v>46052</v>
      </c>
      <c r="AI5" s="8">
        <f t="shared" si="0"/>
        <v>46053</v>
      </c>
      <c r="AJ5" s="14" t="s">
        <v>49</v>
      </c>
      <c r="AK5" s="14" t="s">
        <v>50</v>
      </c>
    </row>
    <row r="6" spans="1:37" x14ac:dyDescent="0.2">
      <c r="A6" s="16"/>
      <c r="B6" s="16"/>
      <c r="C6" s="16"/>
      <c r="D6" s="5" t="s">
        <v>17</v>
      </c>
      <c r="E6" s="6" t="str">
        <f>TEXT(E5,"DDD")</f>
        <v>Thu</v>
      </c>
      <c r="F6" s="6" t="str">
        <f t="shared" ref="F6:AI6" si="1">TEXT(F5,"DDD")</f>
        <v>Fri</v>
      </c>
      <c r="G6" s="6" t="str">
        <f t="shared" si="1"/>
        <v>Sat</v>
      </c>
      <c r="H6" s="6" t="str">
        <f t="shared" si="1"/>
        <v>Sun</v>
      </c>
      <c r="I6" s="6" t="str">
        <f t="shared" si="1"/>
        <v>Mon</v>
      </c>
      <c r="J6" s="6" t="str">
        <f t="shared" si="1"/>
        <v>Tue</v>
      </c>
      <c r="K6" s="6" t="str">
        <f t="shared" si="1"/>
        <v>Wed</v>
      </c>
      <c r="L6" s="6" t="str">
        <f t="shared" si="1"/>
        <v>Thu</v>
      </c>
      <c r="M6" s="6" t="str">
        <f t="shared" si="1"/>
        <v>Fri</v>
      </c>
      <c r="N6" s="6" t="str">
        <f t="shared" si="1"/>
        <v>Sat</v>
      </c>
      <c r="O6" s="6" t="str">
        <f t="shared" si="1"/>
        <v>Sun</v>
      </c>
      <c r="P6" s="6" t="str">
        <f t="shared" si="1"/>
        <v>Mon</v>
      </c>
      <c r="Q6" s="6" t="str">
        <f t="shared" si="1"/>
        <v>Tue</v>
      </c>
      <c r="R6" s="6" t="str">
        <f t="shared" si="1"/>
        <v>Wed</v>
      </c>
      <c r="S6" s="6" t="str">
        <f t="shared" si="1"/>
        <v>Thu</v>
      </c>
      <c r="T6" s="6" t="str">
        <f t="shared" si="1"/>
        <v>Fri</v>
      </c>
      <c r="U6" s="6" t="str">
        <f t="shared" si="1"/>
        <v>Sat</v>
      </c>
      <c r="V6" s="6" t="str">
        <f t="shared" si="1"/>
        <v>Sun</v>
      </c>
      <c r="W6" s="6" t="str">
        <f t="shared" si="1"/>
        <v>Mon</v>
      </c>
      <c r="X6" s="6" t="str">
        <f t="shared" si="1"/>
        <v>Tue</v>
      </c>
      <c r="Y6" s="6" t="str">
        <f t="shared" si="1"/>
        <v>Wed</v>
      </c>
      <c r="Z6" s="6" t="str">
        <f t="shared" si="1"/>
        <v>Thu</v>
      </c>
      <c r="AA6" s="6" t="str">
        <f t="shared" si="1"/>
        <v>Fri</v>
      </c>
      <c r="AB6" s="6" t="str">
        <f t="shared" si="1"/>
        <v>Sat</v>
      </c>
      <c r="AC6" s="6" t="str">
        <f t="shared" si="1"/>
        <v>Sun</v>
      </c>
      <c r="AD6" s="6" t="str">
        <f t="shared" si="1"/>
        <v>Mon</v>
      </c>
      <c r="AE6" s="6" t="str">
        <f t="shared" si="1"/>
        <v>Tue</v>
      </c>
      <c r="AF6" s="6" t="str">
        <f t="shared" si="1"/>
        <v>Wed</v>
      </c>
      <c r="AG6" s="6" t="str">
        <f t="shared" si="1"/>
        <v>Thu</v>
      </c>
      <c r="AH6" s="6" t="str">
        <f t="shared" si="1"/>
        <v>Fri</v>
      </c>
      <c r="AI6" s="6" t="str">
        <f t="shared" si="1"/>
        <v>Sat</v>
      </c>
      <c r="AJ6" s="14"/>
      <c r="AK6" s="14"/>
    </row>
    <row r="7" spans="1:37" x14ac:dyDescent="0.2">
      <c r="A7" s="2" t="s">
        <v>18</v>
      </c>
      <c r="B7" s="2" t="s">
        <v>28</v>
      </c>
      <c r="C7" s="2" t="s">
        <v>38</v>
      </c>
      <c r="D7" s="2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>
        <f>COUNTIF(E7:AI7,"A")</f>
        <v>0</v>
      </c>
      <c r="AK7" s="11">
        <f>31-AJ7</f>
        <v>31</v>
      </c>
    </row>
    <row r="8" spans="1:37" x14ac:dyDescent="0.2">
      <c r="A8" s="2" t="s">
        <v>19</v>
      </c>
      <c r="B8" s="2" t="s">
        <v>29</v>
      </c>
      <c r="C8" s="2" t="s">
        <v>39</v>
      </c>
      <c r="D8" s="2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>
        <f t="shared" ref="AJ8:AJ16" si="2">COUNTIF(E8:AI8,"A")</f>
        <v>0</v>
      </c>
      <c r="AK8" s="11">
        <f t="shared" ref="AK8:AK16" si="3">31-AJ8</f>
        <v>31</v>
      </c>
    </row>
    <row r="9" spans="1:37" x14ac:dyDescent="0.2">
      <c r="A9" s="2" t="s">
        <v>20</v>
      </c>
      <c r="B9" s="2" t="s">
        <v>30</v>
      </c>
      <c r="C9" s="2" t="s">
        <v>40</v>
      </c>
      <c r="D9" s="2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>
        <f t="shared" si="2"/>
        <v>0</v>
      </c>
      <c r="AK9" s="11">
        <f t="shared" si="3"/>
        <v>31</v>
      </c>
    </row>
    <row r="10" spans="1:37" x14ac:dyDescent="0.2">
      <c r="A10" s="2" t="s">
        <v>21</v>
      </c>
      <c r="B10" s="2" t="s">
        <v>31</v>
      </c>
      <c r="C10" s="2" t="s">
        <v>41</v>
      </c>
      <c r="D10" s="2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>
        <f t="shared" si="2"/>
        <v>0</v>
      </c>
      <c r="AK10" s="11">
        <f t="shared" si="3"/>
        <v>31</v>
      </c>
    </row>
    <row r="11" spans="1:37" x14ac:dyDescent="0.2">
      <c r="A11" s="2" t="s">
        <v>22</v>
      </c>
      <c r="B11" s="2" t="s">
        <v>32</v>
      </c>
      <c r="C11" s="2" t="s">
        <v>42</v>
      </c>
      <c r="D11" s="2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>
        <f t="shared" si="2"/>
        <v>0</v>
      </c>
      <c r="AK11" s="11">
        <f t="shared" si="3"/>
        <v>31</v>
      </c>
    </row>
    <row r="12" spans="1:37" x14ac:dyDescent="0.2">
      <c r="A12" s="2" t="s">
        <v>23</v>
      </c>
      <c r="B12" s="2" t="s">
        <v>33</v>
      </c>
      <c r="C12" s="2" t="s">
        <v>43</v>
      </c>
      <c r="D12" s="2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>
        <f t="shared" si="2"/>
        <v>0</v>
      </c>
      <c r="AK12" s="11">
        <f t="shared" si="3"/>
        <v>31</v>
      </c>
    </row>
    <row r="13" spans="1:37" x14ac:dyDescent="0.2">
      <c r="A13" s="2" t="s">
        <v>24</v>
      </c>
      <c r="B13" s="2" t="s">
        <v>34</v>
      </c>
      <c r="C13" s="2" t="s">
        <v>44</v>
      </c>
      <c r="D13" s="2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>
        <f t="shared" si="2"/>
        <v>0</v>
      </c>
      <c r="AK13" s="11">
        <f t="shared" si="3"/>
        <v>31</v>
      </c>
    </row>
    <row r="14" spans="1:37" x14ac:dyDescent="0.2">
      <c r="A14" s="2" t="s">
        <v>25</v>
      </c>
      <c r="B14" s="2" t="s">
        <v>35</v>
      </c>
      <c r="C14" s="2" t="s">
        <v>45</v>
      </c>
      <c r="D14" s="2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>
        <f t="shared" si="2"/>
        <v>0</v>
      </c>
      <c r="AK14" s="11">
        <f t="shared" si="3"/>
        <v>31</v>
      </c>
    </row>
    <row r="15" spans="1:37" x14ac:dyDescent="0.2">
      <c r="A15" s="2" t="s">
        <v>26</v>
      </c>
      <c r="B15" s="2" t="s">
        <v>36</v>
      </c>
      <c r="C15" s="2" t="s">
        <v>47</v>
      </c>
      <c r="D15" s="2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>
        <f t="shared" si="2"/>
        <v>0</v>
      </c>
      <c r="AK15" s="11">
        <f t="shared" si="3"/>
        <v>31</v>
      </c>
    </row>
    <row r="16" spans="1:37" x14ac:dyDescent="0.2">
      <c r="A16" s="2" t="s">
        <v>27</v>
      </c>
      <c r="B16" s="2" t="s">
        <v>37</v>
      </c>
      <c r="C16" s="2" t="s">
        <v>46</v>
      </c>
      <c r="D16" s="2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>
        <f t="shared" si="2"/>
        <v>0</v>
      </c>
      <c r="AK16" s="11">
        <f t="shared" si="3"/>
        <v>31</v>
      </c>
    </row>
  </sheetData>
  <mergeCells count="9">
    <mergeCell ref="AJ5:AJ6"/>
    <mergeCell ref="AK5:AK6"/>
    <mergeCell ref="A1:AK1"/>
    <mergeCell ref="A5:A6"/>
    <mergeCell ref="B5:B6"/>
    <mergeCell ref="C5:C6"/>
    <mergeCell ref="J3:K3"/>
    <mergeCell ref="L3:P3"/>
    <mergeCell ref="E3:H3"/>
  </mergeCells>
  <phoneticPr fontId="3" type="noConversion"/>
  <conditionalFormatting sqref="E7:AI16">
    <cfRule type="expression" dxfId="0" priority="1">
      <formula>E$6="Sun"</formula>
    </cfRule>
  </conditionalFormatting>
  <dataValidations count="2">
    <dataValidation type="list" allowBlank="1" showInputMessage="1" showErrorMessage="1" sqref="B3" xr:uid="{B8E52F8B-40E0-4ADC-8B40-9EF6C85B2B2E}">
      <formula1>Months</formula1>
    </dataValidation>
    <dataValidation type="custom" allowBlank="1" showInputMessage="1" showErrorMessage="1" sqref="E7:AI16" xr:uid="{F4CB5764-FB78-4CDA-9339-03ED50F17A7A}">
      <formula1>E$6&lt;&gt;"Sun"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78875-FCB9-4AD0-8EEB-084749864711}">
  <dimension ref="A1:U11"/>
  <sheetViews>
    <sheetView zoomScale="145" zoomScaleNormal="145" workbookViewId="0">
      <pane xSplit="2" topLeftCell="K1" activePane="topRight" state="frozen"/>
      <selection pane="topRight" activeCell="O13" sqref="O13"/>
    </sheetView>
  </sheetViews>
  <sheetFormatPr defaultColWidth="8.875" defaultRowHeight="15" x14ac:dyDescent="0.2"/>
  <cols>
    <col min="1" max="1" width="8.0703125" style="1" bestFit="1" customWidth="1"/>
    <col min="2" max="2" width="13.046875" style="1" bestFit="1" customWidth="1"/>
    <col min="3" max="3" width="15.33203125" style="1" bestFit="1" customWidth="1"/>
    <col min="4" max="4" width="6.9921875" style="1" bestFit="1" customWidth="1"/>
    <col min="5" max="5" width="14.9296875" style="1" bestFit="1" customWidth="1"/>
    <col min="6" max="6" width="10.4921875" style="1" bestFit="1" customWidth="1"/>
    <col min="7" max="7" width="7.6640625" style="1" bestFit="1" customWidth="1"/>
    <col min="8" max="8" width="11.1640625" style="1" bestFit="1" customWidth="1"/>
    <col min="9" max="9" width="13.71875" style="1" bestFit="1" customWidth="1"/>
    <col min="10" max="10" width="8.203125" style="1" bestFit="1" customWidth="1"/>
    <col min="11" max="11" width="8.609375" style="1" bestFit="1" customWidth="1"/>
    <col min="12" max="12" width="10.22265625" style="1" bestFit="1" customWidth="1"/>
    <col min="13" max="13" width="12.10546875" style="1" bestFit="1" customWidth="1"/>
    <col min="14" max="14" width="9.953125" style="1" bestFit="1" customWidth="1"/>
    <col min="15" max="15" width="8.875" style="1" bestFit="1" customWidth="1"/>
    <col min="16" max="17" width="11.1640625" style="1" bestFit="1" customWidth="1"/>
    <col min="18" max="18" width="8.875" style="1" bestFit="1" customWidth="1"/>
    <col min="19" max="19" width="7.93359375" style="1" bestFit="1" customWidth="1"/>
    <col min="20" max="20" width="14.390625" style="1" bestFit="1" customWidth="1"/>
    <col min="21" max="21" width="9.953125" style="1" bestFit="1" customWidth="1"/>
    <col min="22" max="16384" width="8.875" style="1"/>
  </cols>
  <sheetData>
    <row r="1" spans="1:21" s="10" customFormat="1" x14ac:dyDescent="0.2">
      <c r="A1" s="9" t="s">
        <v>52</v>
      </c>
      <c r="B1" s="9" t="s">
        <v>14</v>
      </c>
      <c r="C1" s="9" t="s">
        <v>53</v>
      </c>
      <c r="D1" s="9" t="s">
        <v>54</v>
      </c>
      <c r="E1" s="9" t="s">
        <v>15</v>
      </c>
      <c r="F1" s="9" t="s">
        <v>67</v>
      </c>
      <c r="G1" s="9" t="s">
        <v>68</v>
      </c>
      <c r="H1" s="9" t="s">
        <v>71</v>
      </c>
      <c r="I1" s="9" t="s">
        <v>70</v>
      </c>
      <c r="J1" s="9" t="s">
        <v>69</v>
      </c>
      <c r="K1" s="9" t="s">
        <v>101</v>
      </c>
      <c r="L1" s="9" t="s">
        <v>102</v>
      </c>
      <c r="M1" s="9" t="s">
        <v>103</v>
      </c>
      <c r="N1" s="9" t="s">
        <v>104</v>
      </c>
      <c r="O1" s="9" t="s">
        <v>105</v>
      </c>
      <c r="P1" s="9" t="s">
        <v>106</v>
      </c>
      <c r="Q1" s="9" t="s">
        <v>107</v>
      </c>
      <c r="R1" s="9" t="s">
        <v>108</v>
      </c>
      <c r="S1" s="9" t="s">
        <v>109</v>
      </c>
      <c r="T1" s="9" t="s">
        <v>111</v>
      </c>
      <c r="U1" s="9" t="s">
        <v>110</v>
      </c>
    </row>
    <row r="2" spans="1:21" x14ac:dyDescent="0.2">
      <c r="A2" s="11" t="s">
        <v>18</v>
      </c>
      <c r="B2" s="11" t="s">
        <v>28</v>
      </c>
      <c r="C2" s="11" t="s">
        <v>55</v>
      </c>
      <c r="D2" s="11" t="s">
        <v>65</v>
      </c>
      <c r="E2" s="11" t="s">
        <v>38</v>
      </c>
      <c r="F2" s="12">
        <v>44967</v>
      </c>
      <c r="G2" s="11" t="s">
        <v>72</v>
      </c>
      <c r="H2" s="11" t="s">
        <v>82</v>
      </c>
      <c r="I2" s="13">
        <v>123456789001</v>
      </c>
      <c r="J2" s="11" t="s">
        <v>91</v>
      </c>
      <c r="K2" s="11">
        <v>20000</v>
      </c>
      <c r="L2" s="11" cm="1">
        <f t="array" ref="L2:L11">'Emp Attendence Sheet'!AK7:AK16</f>
        <v>31</v>
      </c>
      <c r="M2" s="13">
        <f>K2/31*L2</f>
        <v>20000</v>
      </c>
      <c r="N2" s="13">
        <f>K2*40%</f>
        <v>8000</v>
      </c>
      <c r="O2" s="13">
        <f>K2*20%</f>
        <v>4000</v>
      </c>
      <c r="P2" s="13">
        <v>2000</v>
      </c>
      <c r="Q2" s="13">
        <f>SUM(M2:P2)</f>
        <v>34000</v>
      </c>
      <c r="R2" s="13">
        <f>K2*12%</f>
        <v>2400</v>
      </c>
      <c r="S2" s="13">
        <v>220</v>
      </c>
      <c r="T2" s="13">
        <f>R2+S2</f>
        <v>2620</v>
      </c>
      <c r="U2" s="13">
        <f>Q2-T2</f>
        <v>31380</v>
      </c>
    </row>
    <row r="3" spans="1:21" x14ac:dyDescent="0.2">
      <c r="A3" s="11" t="s">
        <v>19</v>
      </c>
      <c r="B3" s="11" t="s">
        <v>29</v>
      </c>
      <c r="C3" s="11" t="s">
        <v>56</v>
      </c>
      <c r="D3" s="11" t="s">
        <v>65</v>
      </c>
      <c r="E3" s="11" t="s">
        <v>39</v>
      </c>
      <c r="F3" s="12">
        <v>44781</v>
      </c>
      <c r="G3" s="11" t="s">
        <v>73</v>
      </c>
      <c r="H3" s="11" t="s">
        <v>83</v>
      </c>
      <c r="I3" s="13">
        <v>123456789002</v>
      </c>
      <c r="J3" s="11" t="s">
        <v>92</v>
      </c>
      <c r="K3" s="11">
        <v>22000</v>
      </c>
      <c r="L3" s="11">
        <v>31</v>
      </c>
      <c r="M3" s="13">
        <f t="shared" ref="M3:M11" si="0">K3/31*L3</f>
        <v>22000</v>
      </c>
      <c r="N3" s="13">
        <f t="shared" ref="N3:N11" si="1">K3*40%</f>
        <v>8800</v>
      </c>
      <c r="O3" s="13">
        <f t="shared" ref="O3:O11" si="2">K3*20%</f>
        <v>4400</v>
      </c>
      <c r="P3" s="13">
        <v>1500</v>
      </c>
      <c r="Q3" s="13">
        <f t="shared" ref="Q3:Q11" si="3">SUM(M3:P3)</f>
        <v>36700</v>
      </c>
      <c r="R3" s="13">
        <f t="shared" ref="R3:R11" si="4">K3*12%</f>
        <v>2640</v>
      </c>
      <c r="S3" s="13">
        <v>300</v>
      </c>
      <c r="T3" s="13">
        <f t="shared" ref="T3:T11" si="5">R3+S3</f>
        <v>2940</v>
      </c>
      <c r="U3" s="13">
        <f t="shared" ref="U3:U11" si="6">Q3-T3</f>
        <v>33760</v>
      </c>
    </row>
    <row r="4" spans="1:21" x14ac:dyDescent="0.2">
      <c r="A4" s="11" t="s">
        <v>20</v>
      </c>
      <c r="B4" s="11" t="s">
        <v>30</v>
      </c>
      <c r="C4" s="11" t="s">
        <v>57</v>
      </c>
      <c r="D4" s="11" t="s">
        <v>65</v>
      </c>
      <c r="E4" s="11" t="s">
        <v>40</v>
      </c>
      <c r="F4" s="12">
        <v>44595</v>
      </c>
      <c r="G4" s="11" t="s">
        <v>74</v>
      </c>
      <c r="H4" s="11" t="s">
        <v>84</v>
      </c>
      <c r="I4" s="13">
        <v>123456789003</v>
      </c>
      <c r="J4" s="11" t="s">
        <v>93</v>
      </c>
      <c r="K4" s="11">
        <v>24000</v>
      </c>
      <c r="L4" s="11">
        <v>31</v>
      </c>
      <c r="M4" s="13">
        <f t="shared" si="0"/>
        <v>24000</v>
      </c>
      <c r="N4" s="13">
        <f t="shared" si="1"/>
        <v>9600</v>
      </c>
      <c r="O4" s="13">
        <f t="shared" si="2"/>
        <v>4800</v>
      </c>
      <c r="P4" s="13">
        <v>2100</v>
      </c>
      <c r="Q4" s="13">
        <f t="shared" si="3"/>
        <v>40500</v>
      </c>
      <c r="R4" s="13">
        <f t="shared" si="4"/>
        <v>2880</v>
      </c>
      <c r="S4" s="13">
        <v>250</v>
      </c>
      <c r="T4" s="13">
        <f t="shared" si="5"/>
        <v>3130</v>
      </c>
      <c r="U4" s="13">
        <f t="shared" si="6"/>
        <v>37370</v>
      </c>
    </row>
    <row r="5" spans="1:21" x14ac:dyDescent="0.2">
      <c r="A5" s="11" t="s">
        <v>21</v>
      </c>
      <c r="B5" s="11" t="s">
        <v>31</v>
      </c>
      <c r="C5" s="11" t="s">
        <v>58</v>
      </c>
      <c r="D5" s="11" t="s">
        <v>66</v>
      </c>
      <c r="E5" s="11" t="s">
        <v>41</v>
      </c>
      <c r="F5" s="12">
        <v>44409</v>
      </c>
      <c r="G5" s="11" t="s">
        <v>75</v>
      </c>
      <c r="H5" s="11" t="s">
        <v>85</v>
      </c>
      <c r="I5" s="13">
        <v>123456789004</v>
      </c>
      <c r="J5" s="11" t="s">
        <v>94</v>
      </c>
      <c r="K5" s="11">
        <v>26000</v>
      </c>
      <c r="L5" s="11">
        <v>31</v>
      </c>
      <c r="M5" s="13">
        <f t="shared" si="0"/>
        <v>26000</v>
      </c>
      <c r="N5" s="13">
        <f t="shared" si="1"/>
        <v>10400</v>
      </c>
      <c r="O5" s="13">
        <f t="shared" si="2"/>
        <v>5200</v>
      </c>
      <c r="P5" s="13">
        <v>1800</v>
      </c>
      <c r="Q5" s="13">
        <f t="shared" si="3"/>
        <v>43400</v>
      </c>
      <c r="R5" s="13">
        <f t="shared" si="4"/>
        <v>3120</v>
      </c>
      <c r="S5" s="13">
        <v>210</v>
      </c>
      <c r="T5" s="13">
        <f t="shared" si="5"/>
        <v>3330</v>
      </c>
      <c r="U5" s="13">
        <f t="shared" si="6"/>
        <v>40070</v>
      </c>
    </row>
    <row r="6" spans="1:21" x14ac:dyDescent="0.2">
      <c r="A6" s="11" t="s">
        <v>22</v>
      </c>
      <c r="B6" s="11" t="s">
        <v>32</v>
      </c>
      <c r="C6" s="11" t="s">
        <v>59</v>
      </c>
      <c r="D6" s="11" t="s">
        <v>66</v>
      </c>
      <c r="E6" s="11" t="s">
        <v>42</v>
      </c>
      <c r="F6" s="12">
        <v>46049</v>
      </c>
      <c r="G6" s="11" t="s">
        <v>76</v>
      </c>
      <c r="H6" s="11" t="s">
        <v>82</v>
      </c>
      <c r="I6" s="13">
        <v>123456789005</v>
      </c>
      <c r="J6" s="11" t="s">
        <v>95</v>
      </c>
      <c r="K6" s="11">
        <v>28000</v>
      </c>
      <c r="L6" s="11">
        <v>31</v>
      </c>
      <c r="M6" s="13">
        <f t="shared" si="0"/>
        <v>28000</v>
      </c>
      <c r="N6" s="13">
        <f t="shared" si="1"/>
        <v>11200</v>
      </c>
      <c r="O6" s="13">
        <f t="shared" si="2"/>
        <v>5600</v>
      </c>
      <c r="P6" s="13">
        <v>1900</v>
      </c>
      <c r="Q6" s="13">
        <f t="shared" si="3"/>
        <v>46700</v>
      </c>
      <c r="R6" s="13">
        <f t="shared" si="4"/>
        <v>3360</v>
      </c>
      <c r="S6" s="13">
        <v>220</v>
      </c>
      <c r="T6" s="13">
        <f t="shared" si="5"/>
        <v>3580</v>
      </c>
      <c r="U6" s="13">
        <f t="shared" si="6"/>
        <v>43120</v>
      </c>
    </row>
    <row r="7" spans="1:21" x14ac:dyDescent="0.2">
      <c r="A7" s="11" t="s">
        <v>23</v>
      </c>
      <c r="B7" s="11" t="s">
        <v>33</v>
      </c>
      <c r="C7" s="11" t="s">
        <v>60</v>
      </c>
      <c r="D7" s="11" t="s">
        <v>65</v>
      </c>
      <c r="E7" s="11" t="s">
        <v>43</v>
      </c>
      <c r="F7" s="12">
        <v>44037</v>
      </c>
      <c r="G7" s="11" t="s">
        <v>77</v>
      </c>
      <c r="H7" s="11" t="s">
        <v>86</v>
      </c>
      <c r="I7" s="13">
        <v>123456789006</v>
      </c>
      <c r="J7" s="11" t="s">
        <v>96</v>
      </c>
      <c r="K7" s="11">
        <v>30000</v>
      </c>
      <c r="L7" s="11">
        <v>31</v>
      </c>
      <c r="M7" s="13">
        <f t="shared" si="0"/>
        <v>30000</v>
      </c>
      <c r="N7" s="13">
        <f t="shared" si="1"/>
        <v>12000</v>
      </c>
      <c r="O7" s="13">
        <f t="shared" si="2"/>
        <v>6000</v>
      </c>
      <c r="P7" s="13">
        <v>2500</v>
      </c>
      <c r="Q7" s="13">
        <f t="shared" si="3"/>
        <v>50500</v>
      </c>
      <c r="R7" s="13">
        <f t="shared" si="4"/>
        <v>3600</v>
      </c>
      <c r="S7" s="13">
        <v>270</v>
      </c>
      <c r="T7" s="13">
        <f t="shared" si="5"/>
        <v>3870</v>
      </c>
      <c r="U7" s="13">
        <f t="shared" si="6"/>
        <v>46630</v>
      </c>
    </row>
    <row r="8" spans="1:21" x14ac:dyDescent="0.2">
      <c r="A8" s="11" t="s">
        <v>24</v>
      </c>
      <c r="B8" s="11" t="s">
        <v>34</v>
      </c>
      <c r="C8" s="11" t="s">
        <v>61</v>
      </c>
      <c r="D8" s="11" t="s">
        <v>66</v>
      </c>
      <c r="E8" s="11" t="s">
        <v>44</v>
      </c>
      <c r="F8" s="12">
        <v>45678</v>
      </c>
      <c r="G8" s="11" t="s">
        <v>78</v>
      </c>
      <c r="H8" s="11" t="s">
        <v>87</v>
      </c>
      <c r="I8" s="13">
        <v>123456789007</v>
      </c>
      <c r="J8" s="11" t="s">
        <v>97</v>
      </c>
      <c r="K8" s="11">
        <v>18000</v>
      </c>
      <c r="L8" s="11">
        <v>31</v>
      </c>
      <c r="M8" s="13">
        <f t="shared" si="0"/>
        <v>18000</v>
      </c>
      <c r="N8" s="13">
        <f t="shared" si="1"/>
        <v>7200</v>
      </c>
      <c r="O8" s="13">
        <f t="shared" si="2"/>
        <v>3600</v>
      </c>
      <c r="P8" s="13">
        <v>2100</v>
      </c>
      <c r="Q8" s="13">
        <f t="shared" si="3"/>
        <v>30900</v>
      </c>
      <c r="R8" s="13">
        <f t="shared" si="4"/>
        <v>2160</v>
      </c>
      <c r="S8" s="13">
        <v>250</v>
      </c>
      <c r="T8" s="13">
        <f t="shared" si="5"/>
        <v>2410</v>
      </c>
      <c r="U8" s="13">
        <f t="shared" si="6"/>
        <v>28490</v>
      </c>
    </row>
    <row r="9" spans="1:21" x14ac:dyDescent="0.2">
      <c r="A9" s="11" t="s">
        <v>25</v>
      </c>
      <c r="B9" s="11" t="s">
        <v>35</v>
      </c>
      <c r="C9" s="11" t="s">
        <v>62</v>
      </c>
      <c r="D9" s="11" t="s">
        <v>66</v>
      </c>
      <c r="E9" s="11" t="s">
        <v>45</v>
      </c>
      <c r="F9" s="12">
        <v>43665</v>
      </c>
      <c r="G9" s="11" t="s">
        <v>79</v>
      </c>
      <c r="H9" s="11" t="s">
        <v>88</v>
      </c>
      <c r="I9" s="13">
        <v>123456789008</v>
      </c>
      <c r="J9" s="11" t="s">
        <v>98</v>
      </c>
      <c r="K9" s="11">
        <v>34000</v>
      </c>
      <c r="L9" s="11">
        <v>31</v>
      </c>
      <c r="M9" s="13">
        <f t="shared" si="0"/>
        <v>34000</v>
      </c>
      <c r="N9" s="13">
        <f t="shared" si="1"/>
        <v>13600</v>
      </c>
      <c r="O9" s="13">
        <f t="shared" si="2"/>
        <v>6800</v>
      </c>
      <c r="P9" s="13">
        <v>2200</v>
      </c>
      <c r="Q9" s="13">
        <f t="shared" si="3"/>
        <v>56600</v>
      </c>
      <c r="R9" s="13">
        <f t="shared" si="4"/>
        <v>4080</v>
      </c>
      <c r="S9" s="13">
        <v>240</v>
      </c>
      <c r="T9" s="13">
        <f t="shared" si="5"/>
        <v>4320</v>
      </c>
      <c r="U9" s="13">
        <f t="shared" si="6"/>
        <v>52280</v>
      </c>
    </row>
    <row r="10" spans="1:21" x14ac:dyDescent="0.2">
      <c r="A10" s="11" t="s">
        <v>26</v>
      </c>
      <c r="B10" s="11" t="s">
        <v>36</v>
      </c>
      <c r="C10" s="11" t="s">
        <v>63</v>
      </c>
      <c r="D10" s="11" t="s">
        <v>65</v>
      </c>
      <c r="E10" s="11" t="s">
        <v>47</v>
      </c>
      <c r="F10" s="12">
        <v>43479</v>
      </c>
      <c r="G10" s="11" t="s">
        <v>80</v>
      </c>
      <c r="H10" s="11" t="s">
        <v>89</v>
      </c>
      <c r="I10" s="13">
        <v>123456789009</v>
      </c>
      <c r="J10" s="11" t="s">
        <v>99</v>
      </c>
      <c r="K10" s="11">
        <v>25000</v>
      </c>
      <c r="L10" s="11">
        <v>31</v>
      </c>
      <c r="M10" s="13">
        <f t="shared" si="0"/>
        <v>25000</v>
      </c>
      <c r="N10" s="13">
        <f t="shared" si="1"/>
        <v>10000</v>
      </c>
      <c r="O10" s="13">
        <f t="shared" si="2"/>
        <v>5000</v>
      </c>
      <c r="P10" s="13">
        <v>2000</v>
      </c>
      <c r="Q10" s="13">
        <f t="shared" si="3"/>
        <v>42000</v>
      </c>
      <c r="R10" s="13">
        <f t="shared" si="4"/>
        <v>3000</v>
      </c>
      <c r="S10" s="13">
        <v>245</v>
      </c>
      <c r="T10" s="13">
        <f t="shared" si="5"/>
        <v>3245</v>
      </c>
      <c r="U10" s="13">
        <f t="shared" si="6"/>
        <v>38755</v>
      </c>
    </row>
    <row r="11" spans="1:21" x14ac:dyDescent="0.2">
      <c r="A11" s="11" t="s">
        <v>27</v>
      </c>
      <c r="B11" s="11" t="s">
        <v>37</v>
      </c>
      <c r="C11" s="11" t="s">
        <v>64</v>
      </c>
      <c r="D11" s="11" t="s">
        <v>66</v>
      </c>
      <c r="E11" s="11" t="s">
        <v>46</v>
      </c>
      <c r="F11" s="12">
        <v>43293</v>
      </c>
      <c r="G11" s="11" t="s">
        <v>81</v>
      </c>
      <c r="H11" s="11" t="s">
        <v>90</v>
      </c>
      <c r="I11" s="13">
        <v>123456789010</v>
      </c>
      <c r="J11" s="11" t="s">
        <v>100</v>
      </c>
      <c r="K11" s="11">
        <v>21000</v>
      </c>
      <c r="L11" s="11">
        <v>31</v>
      </c>
      <c r="M11" s="13">
        <f t="shared" si="0"/>
        <v>21000</v>
      </c>
      <c r="N11" s="13">
        <f t="shared" si="1"/>
        <v>8400</v>
      </c>
      <c r="O11" s="13">
        <f t="shared" si="2"/>
        <v>4200</v>
      </c>
      <c r="P11" s="13">
        <v>1900</v>
      </c>
      <c r="Q11" s="13">
        <f t="shared" si="3"/>
        <v>35500</v>
      </c>
      <c r="R11" s="13">
        <f t="shared" si="4"/>
        <v>2520</v>
      </c>
      <c r="S11" s="13">
        <v>225</v>
      </c>
      <c r="T11" s="13">
        <f t="shared" si="5"/>
        <v>2745</v>
      </c>
      <c r="U11" s="13">
        <f t="shared" si="6"/>
        <v>32755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16718-DBA3-4CB7-A01F-0A0265A1312E}">
  <dimension ref="A1:A12"/>
  <sheetViews>
    <sheetView workbookViewId="0">
      <selection activeCell="C6" sqref="C6"/>
    </sheetView>
  </sheetViews>
  <sheetFormatPr defaultRowHeight="15" x14ac:dyDescent="0.2"/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  <row r="4" spans="1:1" x14ac:dyDescent="0.2">
      <c r="A4" t="s">
        <v>3</v>
      </c>
    </row>
    <row r="5" spans="1:1" x14ac:dyDescent="0.2">
      <c r="A5" t="s">
        <v>4</v>
      </c>
    </row>
    <row r="6" spans="1:1" x14ac:dyDescent="0.2">
      <c r="A6" t="s">
        <v>5</v>
      </c>
    </row>
    <row r="7" spans="1:1" x14ac:dyDescent="0.2">
      <c r="A7" t="s">
        <v>6</v>
      </c>
    </row>
    <row r="8" spans="1:1" x14ac:dyDescent="0.2">
      <c r="A8" t="s">
        <v>7</v>
      </c>
    </row>
    <row r="9" spans="1:1" x14ac:dyDescent="0.2">
      <c r="A9" t="s">
        <v>8</v>
      </c>
    </row>
    <row r="10" spans="1:1" x14ac:dyDescent="0.2">
      <c r="A10" t="s">
        <v>9</v>
      </c>
    </row>
    <row r="11" spans="1:1" x14ac:dyDescent="0.2">
      <c r="A11" t="s">
        <v>10</v>
      </c>
    </row>
    <row r="12" spans="1:1" x14ac:dyDescent="0.2">
      <c r="A12" t="s">
        <v>11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Emp Attendence Sheet</vt:lpstr>
      <vt:lpstr>Emp Salary Sheet</vt:lpstr>
      <vt:lpstr>Sheet4</vt:lpstr>
      <vt:lpstr>Months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aadarsh sahu</dc:creator>
  <cp:lastModifiedBy>aadarsh sahu</cp:lastModifiedBy>
  <dcterms:created xsi:type="dcterms:W3CDTF">2026-06-05T05:54:29Z</dcterms:created>
  <dcterms:modified xsi:type="dcterms:W3CDTF">2026-06-05T08:22:00Z</dcterms:modified>
</cp:coreProperties>
</file>